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vm-my.sharepoint.com/personal/t_guenther_ovm-kassel_de/Documents/Schule/Lernjobs+Infos/LMS/Fachschule/LF04/"/>
    </mc:Choice>
  </mc:AlternateContent>
  <xr:revisionPtr revIDLastSave="0" documentId="8_{491A0AFF-9355-40B9-9E94-D72FB8625DF3}" xr6:coauthVersionLast="47" xr6:coauthVersionMax="47" xr10:uidLastSave="{00000000-0000-0000-0000-000000000000}"/>
  <bookViews>
    <workbookView xWindow="-37880" yWindow="520" windowWidth="28800" windowHeight="15450" tabRatio="500" xr2:uid="{00000000-000D-0000-FFFF-FFFF00000000}"/>
  </bookViews>
  <sheets>
    <sheet name="Blatt1" sheetId="1" r:id="rId1"/>
  </sheets>
  <definedNames>
    <definedName name="_xlnm.Print_Area" localSheetId="0">Blatt1!$A$1:$N$37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" i="1" l="1"/>
  <c r="I8" i="1"/>
  <c r="I13" i="1"/>
  <c r="I19" i="1"/>
  <c r="I20" i="1"/>
  <c r="I21" i="1"/>
  <c r="I22" i="1"/>
  <c r="I12" i="1"/>
  <c r="I7" i="1"/>
  <c r="I30" i="1" l="1"/>
  <c r="I32" i="1"/>
  <c r="I31" i="1"/>
  <c r="I34" i="1"/>
  <c r="J34" i="1" s="1"/>
  <c r="L34" i="1" s="1"/>
  <c r="I15" i="1"/>
  <c r="I11" i="1"/>
  <c r="I10" i="1"/>
  <c r="I5" i="1"/>
  <c r="I6" i="1"/>
  <c r="I18" i="1"/>
  <c r="I17" i="1"/>
  <c r="I28" i="1"/>
  <c r="I27" i="1"/>
  <c r="I26" i="1"/>
  <c r="I25" i="1"/>
  <c r="I24" i="1"/>
  <c r="J24" i="1" l="1"/>
  <c r="L24" i="1" s="1"/>
  <c r="M34" i="1"/>
  <c r="M30" i="1"/>
  <c r="J30" i="1"/>
  <c r="L30" i="1" s="1"/>
  <c r="M24" i="1"/>
  <c r="M17" i="1"/>
  <c r="J17" i="1"/>
  <c r="L17" i="1" s="1"/>
  <c r="M10" i="1"/>
  <c r="J10" i="1"/>
  <c r="L10" i="1" s="1"/>
  <c r="J5" i="1"/>
  <c r="L5" i="1" s="1"/>
  <c r="I35" i="1"/>
  <c r="M5" i="1"/>
  <c r="L36" i="1" l="1"/>
  <c r="M36" i="1"/>
  <c r="J36" i="1" l="1"/>
</calcChain>
</file>

<file path=xl/sharedStrings.xml><?xml version="1.0" encoding="utf-8"?>
<sst xmlns="http://schemas.openxmlformats.org/spreadsheetml/2006/main" count="47" uniqueCount="47">
  <si>
    <t>Name, Vorname:</t>
  </si>
  <si>
    <t>Punkte</t>
  </si>
  <si>
    <t>Story</t>
  </si>
  <si>
    <t>CN-P105-11</t>
  </si>
  <si>
    <t>Bewertungszeitraum:</t>
  </si>
  <si>
    <t>nicht beobachtbar</t>
  </si>
  <si>
    <t>in Ansätzen beobachtbar</t>
  </si>
  <si>
    <t>häufig beobachtbar</t>
  </si>
  <si>
    <t>ausreichend / vorbildlich</t>
  </si>
  <si>
    <t>LF</t>
  </si>
  <si>
    <t>4</t>
  </si>
  <si>
    <t>Teilbereiche</t>
  </si>
  <si>
    <t>Kriterien</t>
  </si>
  <si>
    <t>Punkte - subtotal</t>
  </si>
  <si>
    <t>Faktor</t>
  </si>
  <si>
    <t>Punkte total</t>
  </si>
  <si>
    <t>Fachliches Wissen</t>
  </si>
  <si>
    <t>Raidsysteme unterscheiden</t>
  </si>
  <si>
    <t>Dateisysteme unterscheiden</t>
  </si>
  <si>
    <t>Hardwareeigenschaften beurteilen</t>
  </si>
  <si>
    <t>(Quadrant I: A1-B3)</t>
  </si>
  <si>
    <t>Sicherheitsmaßnahmen erklären</t>
  </si>
  <si>
    <t xml:space="preserve">Anwendung von Fachwissen </t>
  </si>
  <si>
    <t>Installation Betriebssystem</t>
  </si>
  <si>
    <t>Grundkonfiguration durchführen</t>
  </si>
  <si>
    <t>Maßnahmen des IT-Grundschutzes beachten</t>
  </si>
  <si>
    <t>RAID anwendungsbezogen einrichten</t>
  </si>
  <si>
    <t>(Quadrant III: A4-B6)</t>
  </si>
  <si>
    <t xml:space="preserve">Methoden
Fachspezifische &amp;
überfachliche Methoden (Lernmethoden, Lernstrategien )
</t>
  </si>
  <si>
    <t>Planung der Installation</t>
  </si>
  <si>
    <t>Dokumentation der Einstellungen</t>
  </si>
  <si>
    <t>Informationsbeschaffung und Auswertung</t>
  </si>
  <si>
    <t>(Quadranten II + IV: C1-C6)</t>
  </si>
  <si>
    <t>Metareflexion &amp; Selbststeuerung</t>
  </si>
  <si>
    <t>Was war gut?</t>
  </si>
  <si>
    <t>Was war weniger gut? Wo gibt es Entwicklungswünsche?</t>
  </si>
  <si>
    <t>Wie fühlst du dich jetzt nach der Bearbeitung dieser Story?</t>
  </si>
  <si>
    <t>Was war so gut, dass du es so noch einmal tun würdest?</t>
  </si>
  <si>
    <t>(Quadranten II + IV: D1-D6)</t>
  </si>
  <si>
    <t>Was nimmst du dir für das nächste Mal vor?</t>
  </si>
  <si>
    <t>(Lern-) Verhalten</t>
  </si>
  <si>
    <t>Soziale Absprachen</t>
  </si>
  <si>
    <t>Termintreue</t>
  </si>
  <si>
    <t>Raumnutzung</t>
  </si>
  <si>
    <t>Individueller Lernbereich (mit jedem Lernenden individuell vereinbart)</t>
  </si>
  <si>
    <t>Unterschrift Lehrperson:</t>
  </si>
  <si>
    <t>Bemerkungen: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</si>
</sst>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\ &quot;x&quot;"/>
    <numFmt numFmtId="165" formatCode="&quot;/&quot;\ ###;##"/>
    <numFmt numFmtId="166" formatCode="#,##0.00\ &quot;%&quot;"/>
  </numFmts>
  <fonts count="9">
    <font>
      <sz val="12"/>
      <color theme="1"/>
      <name val="Calibri"/>
      <family val="2"/>
      <scheme val="minor"/>
    </font>
    <font>
      <sz val="8"/>
      <name val="Calibri"/>
      <family val="2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theme="1"/>
      <name val="Calibri"/>
      <scheme val="minor"/>
    </font>
    <font>
      <b/>
      <sz val="12"/>
      <color rgb="FF000000"/>
      <name val="Arial"/>
    </font>
    <font>
      <u/>
      <sz val="20"/>
      <color theme="1"/>
      <name val="Calibri"/>
      <scheme val="minor"/>
    </font>
    <font>
      <b/>
      <sz val="14"/>
      <color theme="1"/>
      <name val="Calibri"/>
      <scheme val="minor"/>
    </font>
    <font>
      <sz val="20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2" borderId="1" xfId="0" applyFont="1" applyFill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/>
    </xf>
    <xf numFmtId="0" fontId="0" fillId="4" borderId="0" xfId="0" applyFill="1"/>
    <xf numFmtId="0" fontId="0" fillId="4" borderId="5" xfId="0" applyFill="1" applyBorder="1"/>
    <xf numFmtId="0" fontId="5" fillId="4" borderId="0" xfId="0" applyFont="1" applyFill="1"/>
    <xf numFmtId="0" fontId="0" fillId="4" borderId="0" xfId="0" applyFill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/>
    </xf>
    <xf numFmtId="0" fontId="7" fillId="2" borderId="0" xfId="0" applyFont="1" applyFill="1" applyAlignment="1">
      <alignment horizontal="center" vertical="center"/>
    </xf>
    <xf numFmtId="165" fontId="0" fillId="4" borderId="6" xfId="0" applyNumberFormat="1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left" vertical="top" wrapText="1"/>
      <protection locked="0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locked="0"/>
    </xf>
    <xf numFmtId="164" fontId="0" fillId="3" borderId="1" xfId="0" applyNumberFormat="1" applyFill="1" applyBorder="1" applyAlignment="1" applyProtection="1">
      <alignment horizontal="center" vertical="center"/>
      <protection locked="0" hidden="1"/>
    </xf>
    <xf numFmtId="0" fontId="2" fillId="5" borderId="7" xfId="0" applyFont="1" applyFill="1" applyBorder="1" applyAlignment="1" applyProtection="1">
      <alignment horizontal="center"/>
      <protection locked="0"/>
    </xf>
    <xf numFmtId="0" fontId="2" fillId="5" borderId="3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left"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ill="1" applyProtection="1">
      <protection locked="0"/>
    </xf>
    <xf numFmtId="0" fontId="2" fillId="5" borderId="0" xfId="0" applyFont="1" applyFill="1" applyAlignment="1">
      <alignment vertical="top"/>
    </xf>
    <xf numFmtId="49" fontId="2" fillId="5" borderId="8" xfId="0" applyNumberFormat="1" applyFont="1" applyFill="1" applyBorder="1" applyAlignment="1" applyProtection="1">
      <alignment horizontal="center" vertical="center" wrapText="1"/>
      <protection locked="0"/>
    </xf>
    <xf numFmtId="49" fontId="2" fillId="5" borderId="8" xfId="0" applyNumberFormat="1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165" fontId="0" fillId="4" borderId="6" xfId="0" applyNumberForma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0" fillId="3" borderId="9" xfId="0" applyFill="1" applyBorder="1" applyAlignment="1" applyProtection="1">
      <alignment horizontal="center" vertical="center"/>
      <protection hidden="1"/>
    </xf>
    <xf numFmtId="0" fontId="0" fillId="3" borderId="10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164" fontId="0" fillId="3" borderId="9" xfId="0" applyNumberFormat="1" applyFill="1" applyBorder="1" applyAlignment="1" applyProtection="1">
      <alignment horizontal="center" vertical="center"/>
      <protection locked="0" hidden="1"/>
    </xf>
    <xf numFmtId="164" fontId="0" fillId="3" borderId="10" xfId="0" applyNumberFormat="1" applyFill="1" applyBorder="1" applyAlignment="1" applyProtection="1">
      <alignment horizontal="center" vertical="center"/>
      <protection locked="0" hidden="1"/>
    </xf>
    <xf numFmtId="164" fontId="0" fillId="3" borderId="4" xfId="0" applyNumberFormat="1" applyFill="1" applyBorder="1" applyAlignment="1" applyProtection="1">
      <alignment horizontal="center" vertical="center"/>
      <protection locked="0" hidden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5" borderId="0" xfId="0" applyFill="1" applyAlignment="1" applyProtection="1">
      <alignment horizontal="center"/>
      <protection locked="0"/>
    </xf>
    <xf numFmtId="164" fontId="2" fillId="3" borderId="9" xfId="0" applyNumberFormat="1" applyFont="1" applyFill="1" applyBorder="1" applyAlignment="1" applyProtection="1">
      <alignment horizontal="center" vertical="center"/>
      <protection locked="0" hidden="1"/>
    </xf>
    <xf numFmtId="164" fontId="2" fillId="3" borderId="10" xfId="0" applyNumberFormat="1" applyFont="1" applyFill="1" applyBorder="1" applyAlignment="1" applyProtection="1">
      <alignment horizontal="center" vertical="center"/>
      <protection locked="0" hidden="1"/>
    </xf>
    <xf numFmtId="164" fontId="2" fillId="3" borderId="4" xfId="0" applyNumberFormat="1" applyFont="1" applyFill="1" applyBorder="1" applyAlignment="1" applyProtection="1">
      <alignment horizontal="center" vertical="center"/>
      <protection locked="0" hidden="1"/>
    </xf>
    <xf numFmtId="166" fontId="8" fillId="4" borderId="0" xfId="0" applyNumberFormat="1" applyFont="1" applyFill="1" applyAlignment="1">
      <alignment horizontal="center" vertical="center"/>
    </xf>
    <xf numFmtId="166" fontId="8" fillId="4" borderId="11" xfId="0" applyNumberFormat="1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16" fmlaLink="H5" horiz="1" max="3" page="0" val="0"/>
</file>

<file path=xl/ctrlProps/ctrlProp2.xml><?xml version="1.0" encoding="utf-8"?>
<formControlPr xmlns="http://schemas.microsoft.com/office/spreadsheetml/2009/9/main" objectType="Scroll" dx="16" fmlaLink="H6" horiz="1" max="3" page="0" val="0"/>
</file>

<file path=xl/ctrlProps/ctrlProp3.xml><?xml version="1.0" encoding="utf-8"?>
<formControlPr xmlns="http://schemas.microsoft.com/office/spreadsheetml/2009/9/main" objectType="Scroll" dx="16" fmlaLink="H8" horiz="1" max="3" page="0" val="0"/>
</file>

<file path=xl/ctrlProps/ctrlProp4.xml><?xml version="1.0" encoding="utf-8"?>
<formControlPr xmlns="http://schemas.microsoft.com/office/spreadsheetml/2009/9/main" objectType="Scroll" dx="16" fmlaLink="H10" horiz="1" max="3" page="0" val="0"/>
</file>

<file path=xl/ctrlProps/ctrlProp5.xml><?xml version="1.0" encoding="utf-8"?>
<formControlPr xmlns="http://schemas.microsoft.com/office/spreadsheetml/2009/9/main" objectType="Scroll" dx="16" fmlaLink="H11" horiz="1" max="3" page="0" val="0"/>
</file>

<file path=xl/ctrlProps/ctrlProp6.xml><?xml version="1.0" encoding="utf-8"?>
<formControlPr xmlns="http://schemas.microsoft.com/office/spreadsheetml/2009/9/main" objectType="Scroll" dx="16" fmlaLink="H15" horiz="1" max="3" page="0" val="0"/>
</file>

<file path=xl/ctrlProps/ctrlProp7.xml><?xml version="1.0" encoding="utf-8"?>
<formControlPr xmlns="http://schemas.microsoft.com/office/spreadsheetml/2009/9/main" objectType="Scroll" dx="16" fmlaLink="H17" horiz="1" max="3" page="0" val="0"/>
</file>

<file path=xl/ctrlProps/ctrlProp8.xml><?xml version="1.0" encoding="utf-8"?>
<formControlPr xmlns="http://schemas.microsoft.com/office/spreadsheetml/2009/9/main" objectType="Scroll" dx="16" fmlaLink="H18" horiz="1" max="3" page="0" val="0"/>
</file>

<file path=xl/ctrlProps/ctrlProp9.xml><?xml version="1.0" encoding="utf-8"?>
<formControlPr xmlns="http://schemas.microsoft.com/office/spreadsheetml/2009/9/main" objectType="Scroll" dx="16" fmlaLink="H19" horiz="1" max="3" page="0" val="0"/>
</file>

<file path=xl/ctrlProps/ctrlProp10.xml><?xml version="1.0" encoding="utf-8"?>
<formControlPr xmlns="http://schemas.microsoft.com/office/spreadsheetml/2009/9/main" objectType="Scroll" dx="16" fmlaLink="H20" horiz="1" max="3" page="0" val="0"/>
</file>

<file path=xl/ctrlProps/ctrlProp11.xml><?xml version="1.0" encoding="utf-8"?>
<formControlPr xmlns="http://schemas.microsoft.com/office/spreadsheetml/2009/9/main" objectType="Scroll" dx="16" fmlaLink="H21" horiz="1" max="3" page="0" val="0"/>
</file>

<file path=xl/ctrlProps/ctrlProp12.xml><?xml version="1.0" encoding="utf-8"?>
<formControlPr xmlns="http://schemas.microsoft.com/office/spreadsheetml/2009/9/main" objectType="Scroll" dx="16" fmlaLink="H22" horiz="1" max="3" page="0" val="0"/>
</file>

<file path=xl/ctrlProps/ctrlProp13.xml><?xml version="1.0" encoding="utf-8"?>
<formControlPr xmlns="http://schemas.microsoft.com/office/spreadsheetml/2009/9/main" objectType="Scroll" dx="16" fmlaLink="H24" horiz="1" max="3" page="0" val="0"/>
</file>

<file path=xl/ctrlProps/ctrlProp14.xml><?xml version="1.0" encoding="utf-8"?>
<formControlPr xmlns="http://schemas.microsoft.com/office/spreadsheetml/2009/9/main" objectType="Scroll" dx="16" fmlaLink="H27" horiz="1" max="3" page="0" val="0"/>
</file>

<file path=xl/ctrlProps/ctrlProp15.xml><?xml version="1.0" encoding="utf-8"?>
<formControlPr xmlns="http://schemas.microsoft.com/office/spreadsheetml/2009/9/main" objectType="Scroll" dx="16" fmlaLink="H28" horiz="1" max="3" page="0" val="0"/>
</file>

<file path=xl/ctrlProps/ctrlProp16.xml><?xml version="1.0" encoding="utf-8"?>
<formControlPr xmlns="http://schemas.microsoft.com/office/spreadsheetml/2009/9/main" objectType="Scroll" dx="16" fmlaLink="H30" horiz="1" max="3" page="0" val="0"/>
</file>

<file path=xl/ctrlProps/ctrlProp17.xml><?xml version="1.0" encoding="utf-8"?>
<formControlPr xmlns="http://schemas.microsoft.com/office/spreadsheetml/2009/9/main" objectType="Scroll" dx="16" fmlaLink="H31" horiz="1" max="3" page="0" val="0"/>
</file>

<file path=xl/ctrlProps/ctrlProp18.xml><?xml version="1.0" encoding="utf-8"?>
<formControlPr xmlns="http://schemas.microsoft.com/office/spreadsheetml/2009/9/main" objectType="Scroll" dx="16" fmlaLink="H32" horiz="1" max="3" page="0" val="0"/>
</file>

<file path=xl/ctrlProps/ctrlProp19.xml><?xml version="1.0" encoding="utf-8"?>
<formControlPr xmlns="http://schemas.microsoft.com/office/spreadsheetml/2009/9/main" objectType="Scroll" dx="16" fmlaLink="H34" horiz="1" max="3" page="0" val="0"/>
</file>

<file path=xl/ctrlProps/ctrlProp20.xml><?xml version="1.0" encoding="utf-8"?>
<formControlPr xmlns="http://schemas.microsoft.com/office/spreadsheetml/2009/9/main" objectType="Scroll" dx="16" fmlaLink="H25" horiz="1" max="3" page="0" val="0"/>
</file>

<file path=xl/ctrlProps/ctrlProp21.xml><?xml version="1.0" encoding="utf-8"?>
<formControlPr xmlns="http://schemas.microsoft.com/office/spreadsheetml/2009/9/main" objectType="Scroll" dx="16" fmlaLink="H26" horiz="1" max="3" page="0" val="0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4</xdr:row>
          <xdr:rowOff>38100</xdr:rowOff>
        </xdr:from>
        <xdr:to>
          <xdr:col>6</xdr:col>
          <xdr:colOff>723900</xdr:colOff>
          <xdr:row>5</xdr:row>
          <xdr:rowOff>38100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5</xdr:row>
          <xdr:rowOff>38100</xdr:rowOff>
        </xdr:from>
        <xdr:to>
          <xdr:col>6</xdr:col>
          <xdr:colOff>723900</xdr:colOff>
          <xdr:row>6</xdr:row>
          <xdr:rowOff>38100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7</xdr:row>
          <xdr:rowOff>38100</xdr:rowOff>
        </xdr:from>
        <xdr:to>
          <xdr:col>6</xdr:col>
          <xdr:colOff>723900</xdr:colOff>
          <xdr:row>8</xdr:row>
          <xdr:rowOff>47625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9</xdr:row>
          <xdr:rowOff>38100</xdr:rowOff>
        </xdr:from>
        <xdr:to>
          <xdr:col>6</xdr:col>
          <xdr:colOff>723900</xdr:colOff>
          <xdr:row>10</xdr:row>
          <xdr:rowOff>38100</xdr:rowOff>
        </xdr:to>
        <xdr:sp macro="" textlink="">
          <xdr:nvSpPr>
            <xdr:cNvPr id="1042" name="Scroll Bar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10</xdr:row>
          <xdr:rowOff>47625</xdr:rowOff>
        </xdr:from>
        <xdr:to>
          <xdr:col>6</xdr:col>
          <xdr:colOff>723900</xdr:colOff>
          <xdr:row>11</xdr:row>
          <xdr:rowOff>57150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14</xdr:row>
          <xdr:rowOff>47625</xdr:rowOff>
        </xdr:from>
        <xdr:to>
          <xdr:col>6</xdr:col>
          <xdr:colOff>723900</xdr:colOff>
          <xdr:row>15</xdr:row>
          <xdr:rowOff>57150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16</xdr:row>
          <xdr:rowOff>28575</xdr:rowOff>
        </xdr:from>
        <xdr:to>
          <xdr:col>6</xdr:col>
          <xdr:colOff>723900</xdr:colOff>
          <xdr:row>17</xdr:row>
          <xdr:rowOff>28575</xdr:rowOff>
        </xdr:to>
        <xdr:sp macro="" textlink="">
          <xdr:nvSpPr>
            <xdr:cNvPr id="1045" name="Scroll Bar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17</xdr:row>
          <xdr:rowOff>38100</xdr:rowOff>
        </xdr:from>
        <xdr:to>
          <xdr:col>6</xdr:col>
          <xdr:colOff>723900</xdr:colOff>
          <xdr:row>18</xdr:row>
          <xdr:rowOff>47625</xdr:rowOff>
        </xdr:to>
        <xdr:sp macro="" textlink="">
          <xdr:nvSpPr>
            <xdr:cNvPr id="1046" name="Scroll Bar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18</xdr:row>
          <xdr:rowOff>47625</xdr:rowOff>
        </xdr:from>
        <xdr:to>
          <xdr:col>6</xdr:col>
          <xdr:colOff>723900</xdr:colOff>
          <xdr:row>19</xdr:row>
          <xdr:rowOff>57150</xdr:rowOff>
        </xdr:to>
        <xdr:sp macro="" textlink="">
          <xdr:nvSpPr>
            <xdr:cNvPr id="1047" name="Scroll Bar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19</xdr:row>
          <xdr:rowOff>66675</xdr:rowOff>
        </xdr:from>
        <xdr:to>
          <xdr:col>6</xdr:col>
          <xdr:colOff>723900</xdr:colOff>
          <xdr:row>20</xdr:row>
          <xdr:rowOff>66675</xdr:rowOff>
        </xdr:to>
        <xdr:sp macro="" textlink="">
          <xdr:nvSpPr>
            <xdr:cNvPr id="1048" name="Scroll Bar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66675</xdr:rowOff>
        </xdr:from>
        <xdr:to>
          <xdr:col>6</xdr:col>
          <xdr:colOff>723900</xdr:colOff>
          <xdr:row>21</xdr:row>
          <xdr:rowOff>66675</xdr:rowOff>
        </xdr:to>
        <xdr:sp macro="" textlink="">
          <xdr:nvSpPr>
            <xdr:cNvPr id="1049" name="Scroll Ba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21</xdr:row>
          <xdr:rowOff>47625</xdr:rowOff>
        </xdr:from>
        <xdr:to>
          <xdr:col>6</xdr:col>
          <xdr:colOff>723900</xdr:colOff>
          <xdr:row>22</xdr:row>
          <xdr:rowOff>57150</xdr:rowOff>
        </xdr:to>
        <xdr:sp macro="" textlink="">
          <xdr:nvSpPr>
            <xdr:cNvPr id="1050" name="Scroll Bar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23</xdr:row>
          <xdr:rowOff>28575</xdr:rowOff>
        </xdr:from>
        <xdr:to>
          <xdr:col>6</xdr:col>
          <xdr:colOff>723900</xdr:colOff>
          <xdr:row>24</xdr:row>
          <xdr:rowOff>9525</xdr:rowOff>
        </xdr:to>
        <xdr:sp macro="" textlink="">
          <xdr:nvSpPr>
            <xdr:cNvPr id="1051" name="Scroll Bar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26</xdr:row>
          <xdr:rowOff>9525</xdr:rowOff>
        </xdr:from>
        <xdr:to>
          <xdr:col>6</xdr:col>
          <xdr:colOff>723900</xdr:colOff>
          <xdr:row>26</xdr:row>
          <xdr:rowOff>104775</xdr:rowOff>
        </xdr:to>
        <xdr:sp macro="" textlink="">
          <xdr:nvSpPr>
            <xdr:cNvPr id="1052" name="Scroll Bar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27</xdr:row>
          <xdr:rowOff>9525</xdr:rowOff>
        </xdr:from>
        <xdr:to>
          <xdr:col>6</xdr:col>
          <xdr:colOff>723900</xdr:colOff>
          <xdr:row>27</xdr:row>
          <xdr:rowOff>104775</xdr:rowOff>
        </xdr:to>
        <xdr:sp macro="" textlink="">
          <xdr:nvSpPr>
            <xdr:cNvPr id="1053" name="Scroll Bar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29</xdr:row>
          <xdr:rowOff>0</xdr:rowOff>
        </xdr:from>
        <xdr:to>
          <xdr:col>6</xdr:col>
          <xdr:colOff>714375</xdr:colOff>
          <xdr:row>30</xdr:row>
          <xdr:rowOff>0</xdr:rowOff>
        </xdr:to>
        <xdr:sp macro="" textlink="">
          <xdr:nvSpPr>
            <xdr:cNvPr id="1054" name="Scroll Bar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9525</xdr:rowOff>
        </xdr:from>
        <xdr:to>
          <xdr:col>6</xdr:col>
          <xdr:colOff>714375</xdr:colOff>
          <xdr:row>31</xdr:row>
          <xdr:rowOff>9525</xdr:rowOff>
        </xdr:to>
        <xdr:sp macro="" textlink="">
          <xdr:nvSpPr>
            <xdr:cNvPr id="1055" name="Scroll Ba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31</xdr:row>
          <xdr:rowOff>9525</xdr:rowOff>
        </xdr:from>
        <xdr:to>
          <xdr:col>6</xdr:col>
          <xdr:colOff>714375</xdr:colOff>
          <xdr:row>32</xdr:row>
          <xdr:rowOff>9525</xdr:rowOff>
        </xdr:to>
        <xdr:sp macro="" textlink="">
          <xdr:nvSpPr>
            <xdr:cNvPr id="1056" name="Scroll Bar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33</xdr:row>
          <xdr:rowOff>9525</xdr:rowOff>
        </xdr:from>
        <xdr:to>
          <xdr:col>6</xdr:col>
          <xdr:colOff>714375</xdr:colOff>
          <xdr:row>33</xdr:row>
          <xdr:rowOff>219075</xdr:rowOff>
        </xdr:to>
        <xdr:sp macro="" textlink="">
          <xdr:nvSpPr>
            <xdr:cNvPr id="1057" name="Scroll Bar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24</xdr:row>
          <xdr:rowOff>28575</xdr:rowOff>
        </xdr:from>
        <xdr:to>
          <xdr:col>6</xdr:col>
          <xdr:colOff>723900</xdr:colOff>
          <xdr:row>24</xdr:row>
          <xdr:rowOff>123825</xdr:rowOff>
        </xdr:to>
        <xdr:sp macro="" textlink="">
          <xdr:nvSpPr>
            <xdr:cNvPr id="1058" name="Scroll Bar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25</xdr:row>
          <xdr:rowOff>28575</xdr:rowOff>
        </xdr:from>
        <xdr:to>
          <xdr:col>6</xdr:col>
          <xdr:colOff>723900</xdr:colOff>
          <xdr:row>25</xdr:row>
          <xdr:rowOff>161925</xdr:rowOff>
        </xdr:to>
        <xdr:sp macro="" textlink="">
          <xdr:nvSpPr>
            <xdr:cNvPr id="1059" name="Scroll Bar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tt1">
    <pageSetUpPr fitToPage="1"/>
  </sheetPr>
  <dimension ref="A1:N37"/>
  <sheetViews>
    <sheetView tabSelected="1" zoomScale="85" zoomScaleNormal="85" workbookViewId="0">
      <selection activeCell="C20" sqref="C20"/>
    </sheetView>
  </sheetViews>
  <sheetFormatPr defaultColWidth="10.875" defaultRowHeight="15.75"/>
  <cols>
    <col min="1" max="1" width="4.625" style="9" customWidth="1"/>
    <col min="2" max="2" width="23.625" style="9" customWidth="1"/>
    <col min="3" max="3" width="47.875" style="9" customWidth="1"/>
    <col min="4" max="7" width="14.125" style="9" customWidth="1"/>
    <col min="8" max="8" width="3.625" style="9" customWidth="1"/>
    <col min="9" max="9" width="2.5" style="9" customWidth="1"/>
    <col min="10" max="12" width="8.625" style="9" customWidth="1"/>
    <col min="13" max="13" width="11.125" style="9" hidden="1" customWidth="1"/>
    <col min="14" max="14" width="4.625" style="9" customWidth="1"/>
    <col min="15" max="16384" width="10.875" style="9"/>
  </cols>
  <sheetData>
    <row r="1" spans="1:14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</row>
    <row r="2" spans="1:14" ht="28.15" customHeight="1">
      <c r="A2" s="32"/>
      <c r="B2" s="25" t="s">
        <v>0</v>
      </c>
      <c r="C2" s="21"/>
      <c r="D2" s="36" t="s">
        <v>1</v>
      </c>
      <c r="E2" s="37"/>
      <c r="F2" s="37"/>
      <c r="G2" s="37"/>
      <c r="H2" s="38"/>
      <c r="I2" s="15"/>
      <c r="J2" s="24" t="s">
        <v>2</v>
      </c>
      <c r="K2" s="30" t="s">
        <v>3</v>
      </c>
      <c r="L2" s="23"/>
      <c r="M2" s="12"/>
      <c r="N2" s="32"/>
    </row>
    <row r="3" spans="1:14" ht="31.5">
      <c r="A3" s="32"/>
      <c r="B3" s="25" t="s">
        <v>4</v>
      </c>
      <c r="C3" s="21"/>
      <c r="D3" s="2" t="s">
        <v>5</v>
      </c>
      <c r="E3" s="1" t="s">
        <v>6</v>
      </c>
      <c r="F3" s="1" t="s">
        <v>7</v>
      </c>
      <c r="G3" s="1" t="s">
        <v>8</v>
      </c>
      <c r="H3" s="3"/>
      <c r="I3" s="3"/>
      <c r="J3" s="22" t="s">
        <v>9</v>
      </c>
      <c r="K3" s="29" t="s">
        <v>10</v>
      </c>
      <c r="L3" s="23"/>
      <c r="M3" s="12"/>
      <c r="N3" s="32"/>
    </row>
    <row r="4" spans="1:14" ht="28.15" customHeight="1">
      <c r="A4" s="32"/>
      <c r="B4" s="4" t="s">
        <v>11</v>
      </c>
      <c r="C4" s="4" t="s">
        <v>12</v>
      </c>
      <c r="D4" s="5">
        <v>0</v>
      </c>
      <c r="E4" s="5">
        <v>1</v>
      </c>
      <c r="F4" s="5">
        <v>2</v>
      </c>
      <c r="G4" s="5">
        <v>3</v>
      </c>
      <c r="H4" s="5"/>
      <c r="I4" s="5"/>
      <c r="J4" s="5" t="s">
        <v>13</v>
      </c>
      <c r="K4" s="5" t="s">
        <v>14</v>
      </c>
      <c r="L4" s="5" t="s">
        <v>15</v>
      </c>
      <c r="M4" s="12"/>
      <c r="N4" s="32"/>
    </row>
    <row r="5" spans="1:14">
      <c r="A5" s="32"/>
      <c r="B5" s="34" t="s">
        <v>16</v>
      </c>
      <c r="C5" s="17" t="s">
        <v>17</v>
      </c>
      <c r="D5" s="45"/>
      <c r="E5" s="46"/>
      <c r="F5" s="46"/>
      <c r="G5" s="47"/>
      <c r="H5" s="19">
        <v>0</v>
      </c>
      <c r="I5" s="8">
        <f>IF(C5&gt;"",H5,"")</f>
        <v>0</v>
      </c>
      <c r="J5" s="39">
        <f>SUM(I5:I8)</f>
        <v>0</v>
      </c>
      <c r="K5" s="67">
        <v>4</v>
      </c>
      <c r="L5" s="39">
        <f>J5*K5</f>
        <v>0</v>
      </c>
      <c r="M5" s="33">
        <f>(COUNT(I5:I8)*K5*3)</f>
        <v>48</v>
      </c>
      <c r="N5" s="32"/>
    </row>
    <row r="6" spans="1:14">
      <c r="A6" s="32"/>
      <c r="B6" s="35"/>
      <c r="C6" s="17" t="s">
        <v>18</v>
      </c>
      <c r="D6" s="48"/>
      <c r="E6" s="49"/>
      <c r="F6" s="49"/>
      <c r="G6" s="50"/>
      <c r="H6" s="19">
        <v>0</v>
      </c>
      <c r="I6" s="8">
        <f>IF(C6&gt;"",H6,"")</f>
        <v>0</v>
      </c>
      <c r="J6" s="40">
        <v>2</v>
      </c>
      <c r="K6" s="68"/>
      <c r="L6" s="40"/>
      <c r="M6" s="33"/>
      <c r="N6" s="32"/>
    </row>
    <row r="7" spans="1:14">
      <c r="A7" s="32"/>
      <c r="B7" s="31"/>
      <c r="C7" s="17" t="s">
        <v>19</v>
      </c>
      <c r="D7" s="48"/>
      <c r="E7" s="49"/>
      <c r="F7" s="49"/>
      <c r="G7" s="50"/>
      <c r="H7" s="19">
        <v>0</v>
      </c>
      <c r="I7" s="8">
        <f t="shared" ref="I7:I8" si="0">IF(C7&gt;"",H7,"")</f>
        <v>0</v>
      </c>
      <c r="J7" s="40"/>
      <c r="K7" s="68"/>
      <c r="L7" s="40"/>
      <c r="M7" s="33"/>
      <c r="N7" s="32"/>
    </row>
    <row r="8" spans="1:14">
      <c r="A8" s="32"/>
      <c r="B8" s="6" t="s">
        <v>20</v>
      </c>
      <c r="C8" s="17" t="s">
        <v>21</v>
      </c>
      <c r="D8" s="51"/>
      <c r="E8" s="52"/>
      <c r="F8" s="52"/>
      <c r="G8" s="53"/>
      <c r="H8" s="19">
        <v>0</v>
      </c>
      <c r="I8" s="8">
        <f t="shared" si="0"/>
        <v>0</v>
      </c>
      <c r="J8" s="41"/>
      <c r="K8" s="69"/>
      <c r="L8" s="41"/>
      <c r="M8" s="33"/>
      <c r="N8" s="32"/>
    </row>
    <row r="9" spans="1:14" ht="9" customHeight="1">
      <c r="A9" s="3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32"/>
    </row>
    <row r="10" spans="1:14">
      <c r="A10" s="32"/>
      <c r="B10" s="34" t="s">
        <v>22</v>
      </c>
      <c r="C10" s="17" t="s">
        <v>23</v>
      </c>
      <c r="D10" s="54"/>
      <c r="E10" s="55"/>
      <c r="F10" s="55"/>
      <c r="G10" s="56"/>
      <c r="H10" s="19">
        <v>0</v>
      </c>
      <c r="I10" s="8">
        <f>IF(C10&gt;"",H10,"")</f>
        <v>0</v>
      </c>
      <c r="J10" s="39">
        <f>SUM(I10:I15)</f>
        <v>0</v>
      </c>
      <c r="K10" s="67">
        <v>4</v>
      </c>
      <c r="L10" s="39">
        <f>J10*K10</f>
        <v>0</v>
      </c>
      <c r="M10" s="33">
        <f>COUNT(I10:I15)*K10*3</f>
        <v>48</v>
      </c>
      <c r="N10" s="32"/>
    </row>
    <row r="11" spans="1:14">
      <c r="A11" s="32"/>
      <c r="B11" s="35"/>
      <c r="C11" s="17" t="s">
        <v>24</v>
      </c>
      <c r="D11" s="57"/>
      <c r="E11" s="58"/>
      <c r="F11" s="58"/>
      <c r="G11" s="59"/>
      <c r="H11" s="19">
        <v>0</v>
      </c>
      <c r="I11" s="8">
        <f t="shared" ref="I11:I34" si="1">IF(C11&gt;"",H11,"")</f>
        <v>0</v>
      </c>
      <c r="J11" s="40">
        <v>2</v>
      </c>
      <c r="K11" s="68"/>
      <c r="L11" s="40"/>
      <c r="M11" s="33"/>
      <c r="N11" s="32"/>
    </row>
    <row r="12" spans="1:14">
      <c r="A12" s="32"/>
      <c r="B12" s="31"/>
      <c r="C12" s="17" t="s">
        <v>25</v>
      </c>
      <c r="D12" s="57"/>
      <c r="E12" s="58"/>
      <c r="F12" s="58"/>
      <c r="G12" s="59"/>
      <c r="H12" s="19">
        <v>0</v>
      </c>
      <c r="I12" s="8">
        <f t="shared" si="1"/>
        <v>0</v>
      </c>
      <c r="J12" s="40"/>
      <c r="K12" s="68"/>
      <c r="L12" s="40"/>
      <c r="M12" s="33"/>
      <c r="N12" s="32"/>
    </row>
    <row r="13" spans="1:14">
      <c r="A13" s="32"/>
      <c r="B13" s="31"/>
      <c r="C13" s="17" t="s">
        <v>26</v>
      </c>
      <c r="D13" s="57"/>
      <c r="E13" s="58"/>
      <c r="F13" s="58"/>
      <c r="G13" s="59"/>
      <c r="H13" s="19">
        <v>0</v>
      </c>
      <c r="I13" s="8">
        <f t="shared" si="1"/>
        <v>0</v>
      </c>
      <c r="J13" s="40"/>
      <c r="K13" s="68"/>
      <c r="L13" s="40"/>
      <c r="M13" s="33"/>
      <c r="N13" s="32"/>
    </row>
    <row r="14" spans="1:14">
      <c r="A14" s="32"/>
      <c r="B14" s="31"/>
      <c r="C14" s="17"/>
      <c r="D14" s="57"/>
      <c r="E14" s="58"/>
      <c r="F14" s="58"/>
      <c r="G14" s="59"/>
      <c r="H14" s="19">
        <v>0</v>
      </c>
      <c r="I14" s="8" t="str">
        <f t="shared" si="1"/>
        <v/>
      </c>
      <c r="J14" s="40"/>
      <c r="K14" s="68"/>
      <c r="L14" s="40"/>
      <c r="M14" s="33"/>
      <c r="N14" s="32"/>
    </row>
    <row r="15" spans="1:14">
      <c r="A15" s="32"/>
      <c r="B15" s="6" t="s">
        <v>27</v>
      </c>
      <c r="C15" s="17"/>
      <c r="D15" s="60"/>
      <c r="E15" s="61"/>
      <c r="F15" s="61"/>
      <c r="G15" s="62"/>
      <c r="H15" s="19">
        <v>0</v>
      </c>
      <c r="I15" s="8" t="str">
        <f t="shared" si="1"/>
        <v/>
      </c>
      <c r="J15" s="41"/>
      <c r="K15" s="69"/>
      <c r="L15" s="41"/>
      <c r="M15" s="33"/>
      <c r="N15" s="32"/>
    </row>
    <row r="16" spans="1:14" ht="9" customHeight="1">
      <c r="A16" s="3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6"/>
      <c r="N16" s="32"/>
    </row>
    <row r="17" spans="1:14">
      <c r="A17" s="32"/>
      <c r="B17" s="34" t="s">
        <v>28</v>
      </c>
      <c r="C17" s="17" t="s">
        <v>29</v>
      </c>
      <c r="D17" s="54"/>
      <c r="E17" s="55"/>
      <c r="F17" s="55"/>
      <c r="G17" s="56"/>
      <c r="H17" s="19">
        <v>0</v>
      </c>
      <c r="I17" s="8">
        <f t="shared" si="1"/>
        <v>0</v>
      </c>
      <c r="J17" s="39">
        <f>SUM(I17:I22)</f>
        <v>0</v>
      </c>
      <c r="K17" s="67">
        <v>2</v>
      </c>
      <c r="L17" s="39">
        <f>J17*K17</f>
        <v>0</v>
      </c>
      <c r="M17" s="33">
        <f>COUNT(I17:I22)*K17*3</f>
        <v>18</v>
      </c>
      <c r="N17" s="32"/>
    </row>
    <row r="18" spans="1:14">
      <c r="A18" s="32"/>
      <c r="B18" s="35"/>
      <c r="C18" s="17" t="s">
        <v>30</v>
      </c>
      <c r="D18" s="57"/>
      <c r="E18" s="58"/>
      <c r="F18" s="58"/>
      <c r="G18" s="59"/>
      <c r="H18" s="19">
        <v>0</v>
      </c>
      <c r="I18" s="8">
        <f t="shared" si="1"/>
        <v>0</v>
      </c>
      <c r="J18" s="40"/>
      <c r="K18" s="68"/>
      <c r="L18" s="40"/>
      <c r="M18" s="33"/>
      <c r="N18" s="32"/>
    </row>
    <row r="19" spans="1:14">
      <c r="A19" s="32"/>
      <c r="B19" s="35"/>
      <c r="C19" s="17" t="s">
        <v>31</v>
      </c>
      <c r="D19" s="57"/>
      <c r="E19" s="58"/>
      <c r="F19" s="58"/>
      <c r="G19" s="59"/>
      <c r="H19" s="19">
        <v>0</v>
      </c>
      <c r="I19" s="8">
        <f t="shared" si="1"/>
        <v>0</v>
      </c>
      <c r="J19" s="40"/>
      <c r="K19" s="68"/>
      <c r="L19" s="40"/>
      <c r="M19" s="33"/>
      <c r="N19" s="32"/>
    </row>
    <row r="20" spans="1:14">
      <c r="A20" s="32"/>
      <c r="B20" s="35"/>
      <c r="C20" s="17"/>
      <c r="D20" s="57"/>
      <c r="E20" s="58"/>
      <c r="F20" s="58"/>
      <c r="G20" s="59"/>
      <c r="H20" s="19">
        <v>0</v>
      </c>
      <c r="I20" s="8" t="str">
        <f t="shared" si="1"/>
        <v/>
      </c>
      <c r="J20" s="40"/>
      <c r="K20" s="68"/>
      <c r="L20" s="40"/>
      <c r="M20" s="33"/>
      <c r="N20" s="32"/>
    </row>
    <row r="21" spans="1:14">
      <c r="A21" s="32"/>
      <c r="B21" s="35"/>
      <c r="C21" s="17"/>
      <c r="D21" s="57"/>
      <c r="E21" s="58"/>
      <c r="F21" s="58"/>
      <c r="G21" s="59"/>
      <c r="H21" s="19">
        <v>0</v>
      </c>
      <c r="I21" s="8" t="str">
        <f t="shared" si="1"/>
        <v/>
      </c>
      <c r="J21" s="40"/>
      <c r="K21" s="68"/>
      <c r="L21" s="40"/>
      <c r="M21" s="33"/>
      <c r="N21" s="32"/>
    </row>
    <row r="22" spans="1:14">
      <c r="A22" s="32"/>
      <c r="B22" s="6" t="s">
        <v>32</v>
      </c>
      <c r="C22" s="17"/>
      <c r="D22" s="60"/>
      <c r="E22" s="61"/>
      <c r="F22" s="61"/>
      <c r="G22" s="62"/>
      <c r="H22" s="19">
        <v>0</v>
      </c>
      <c r="I22" s="8" t="str">
        <f t="shared" si="1"/>
        <v/>
      </c>
      <c r="J22" s="41"/>
      <c r="K22" s="69"/>
      <c r="L22" s="41"/>
      <c r="M22" s="33"/>
      <c r="N22" s="32"/>
    </row>
    <row r="23" spans="1:14" ht="9" customHeight="1">
      <c r="A23" s="3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32"/>
    </row>
    <row r="24" spans="1:14">
      <c r="A24" s="32"/>
      <c r="B24" s="34" t="s">
        <v>33</v>
      </c>
      <c r="C24" s="14" t="s">
        <v>34</v>
      </c>
      <c r="D24" s="54"/>
      <c r="E24" s="55"/>
      <c r="F24" s="55"/>
      <c r="G24" s="56"/>
      <c r="H24" s="19">
        <v>0</v>
      </c>
      <c r="I24" s="8">
        <f t="shared" si="1"/>
        <v>0</v>
      </c>
      <c r="J24" s="39">
        <f>SUM(I24:I28)</f>
        <v>0</v>
      </c>
      <c r="K24" s="42">
        <v>1</v>
      </c>
      <c r="L24" s="39">
        <f>J24*K24</f>
        <v>0</v>
      </c>
      <c r="M24" s="33">
        <f>COUNT(I24:I28)*K24*3</f>
        <v>15</v>
      </c>
      <c r="N24" s="32"/>
    </row>
    <row r="25" spans="1:14" ht="31.5">
      <c r="A25" s="32"/>
      <c r="B25" s="35"/>
      <c r="C25" s="14" t="s">
        <v>35</v>
      </c>
      <c r="D25" s="57"/>
      <c r="E25" s="58"/>
      <c r="F25" s="58"/>
      <c r="G25" s="59"/>
      <c r="H25" s="19">
        <v>0</v>
      </c>
      <c r="I25" s="8">
        <f t="shared" si="1"/>
        <v>0</v>
      </c>
      <c r="J25" s="40"/>
      <c r="K25" s="43"/>
      <c r="L25" s="40"/>
      <c r="M25" s="33"/>
      <c r="N25" s="32"/>
    </row>
    <row r="26" spans="1:14" ht="31.5">
      <c r="A26" s="32"/>
      <c r="B26" s="35"/>
      <c r="C26" s="14" t="s">
        <v>36</v>
      </c>
      <c r="D26" s="57"/>
      <c r="E26" s="58"/>
      <c r="F26" s="58"/>
      <c r="G26" s="59"/>
      <c r="H26" s="19">
        <v>0</v>
      </c>
      <c r="I26" s="8">
        <f t="shared" si="1"/>
        <v>0</v>
      </c>
      <c r="J26" s="40"/>
      <c r="K26" s="43"/>
      <c r="L26" s="40"/>
      <c r="M26" s="33"/>
      <c r="N26" s="32"/>
    </row>
    <row r="27" spans="1:14">
      <c r="A27" s="32"/>
      <c r="B27" s="35"/>
      <c r="C27" s="14" t="s">
        <v>37</v>
      </c>
      <c r="D27" s="57"/>
      <c r="E27" s="58"/>
      <c r="F27" s="58"/>
      <c r="G27" s="59"/>
      <c r="H27" s="19">
        <v>0</v>
      </c>
      <c r="I27" s="8">
        <f t="shared" si="1"/>
        <v>0</v>
      </c>
      <c r="J27" s="40"/>
      <c r="K27" s="43"/>
      <c r="L27" s="40"/>
      <c r="M27" s="33"/>
      <c r="N27" s="32"/>
    </row>
    <row r="28" spans="1:14">
      <c r="A28" s="32"/>
      <c r="B28" s="6" t="s">
        <v>38</v>
      </c>
      <c r="C28" s="14" t="s">
        <v>39</v>
      </c>
      <c r="D28" s="60"/>
      <c r="E28" s="61"/>
      <c r="F28" s="61"/>
      <c r="G28" s="62"/>
      <c r="H28" s="19">
        <v>0</v>
      </c>
      <c r="I28" s="8">
        <f t="shared" si="1"/>
        <v>0</v>
      </c>
      <c r="J28" s="41"/>
      <c r="K28" s="44"/>
      <c r="L28" s="41"/>
      <c r="M28" s="33"/>
      <c r="N28" s="32"/>
    </row>
    <row r="29" spans="1:14" ht="9" customHeight="1">
      <c r="A29" s="3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32"/>
    </row>
    <row r="30" spans="1:14">
      <c r="A30" s="32"/>
      <c r="B30" s="34" t="s">
        <v>40</v>
      </c>
      <c r="C30" s="14" t="s">
        <v>41</v>
      </c>
      <c r="D30" s="54"/>
      <c r="E30" s="55"/>
      <c r="F30" s="55"/>
      <c r="G30" s="56"/>
      <c r="H30" s="19">
        <v>0</v>
      </c>
      <c r="I30" s="8">
        <f t="shared" si="1"/>
        <v>0</v>
      </c>
      <c r="J30" s="39">
        <f>SUM(I30:I32)</f>
        <v>0</v>
      </c>
      <c r="K30" s="42">
        <v>1</v>
      </c>
      <c r="L30" s="39">
        <f>J30*K30</f>
        <v>0</v>
      </c>
      <c r="M30" s="33">
        <f>COUNT(I30:I32)*K30*3</f>
        <v>9</v>
      </c>
      <c r="N30" s="32"/>
    </row>
    <row r="31" spans="1:14">
      <c r="A31" s="32"/>
      <c r="B31" s="35"/>
      <c r="C31" s="14" t="s">
        <v>42</v>
      </c>
      <c r="D31" s="57"/>
      <c r="E31" s="58"/>
      <c r="F31" s="58"/>
      <c r="G31" s="59"/>
      <c r="H31" s="19">
        <v>0</v>
      </c>
      <c r="I31" s="8">
        <f t="shared" si="1"/>
        <v>0</v>
      </c>
      <c r="J31" s="40"/>
      <c r="K31" s="43"/>
      <c r="L31" s="40"/>
      <c r="M31" s="33"/>
      <c r="N31" s="32"/>
    </row>
    <row r="32" spans="1:14">
      <c r="A32" s="32"/>
      <c r="B32" s="6"/>
      <c r="C32" s="14" t="s">
        <v>43</v>
      </c>
      <c r="D32" s="60"/>
      <c r="E32" s="61"/>
      <c r="F32" s="61"/>
      <c r="G32" s="62"/>
      <c r="H32" s="19">
        <v>0</v>
      </c>
      <c r="I32" s="8">
        <f t="shared" si="1"/>
        <v>0</v>
      </c>
      <c r="J32" s="41"/>
      <c r="K32" s="44"/>
      <c r="L32" s="41"/>
      <c r="M32" s="33"/>
      <c r="N32" s="32"/>
    </row>
    <row r="33" spans="1:14" ht="9" customHeight="1">
      <c r="A33" s="32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2"/>
      <c r="N33" s="32"/>
    </row>
    <row r="34" spans="1:14" ht="47.25">
      <c r="A34" s="32"/>
      <c r="B34" s="7" t="s">
        <v>44</v>
      </c>
      <c r="C34" s="17"/>
      <c r="D34" s="63"/>
      <c r="E34" s="64"/>
      <c r="F34" s="64"/>
      <c r="G34" s="65"/>
      <c r="H34" s="19">
        <v>0</v>
      </c>
      <c r="I34" s="8" t="str">
        <f t="shared" si="1"/>
        <v/>
      </c>
      <c r="J34" s="18">
        <f>SUM(I34)</f>
        <v>0</v>
      </c>
      <c r="K34" s="20">
        <v>3</v>
      </c>
      <c r="L34" s="18">
        <f>J34*K34</f>
        <v>0</v>
      </c>
      <c r="M34" s="16">
        <f>COUNT(I34)*K34*3</f>
        <v>0</v>
      </c>
      <c r="N34" s="32"/>
    </row>
    <row r="35" spans="1:14" ht="9" customHeight="1">
      <c r="B35" s="10"/>
      <c r="C35" s="10"/>
      <c r="D35" s="10"/>
      <c r="E35" s="10"/>
      <c r="F35" s="10"/>
      <c r="G35" s="10"/>
      <c r="H35" s="10"/>
      <c r="I35" s="10">
        <f>COUNT(I5:I34)</f>
        <v>19</v>
      </c>
      <c r="J35" s="10"/>
      <c r="K35" s="10"/>
      <c r="L35" s="10"/>
      <c r="M35" s="16"/>
    </row>
    <row r="36" spans="1:14" ht="57" customHeight="1">
      <c r="B36" s="26" t="s">
        <v>45</v>
      </c>
      <c r="C36" s="27"/>
      <c r="D36" s="28" t="s">
        <v>46</v>
      </c>
      <c r="E36" s="66"/>
      <c r="F36" s="66"/>
      <c r="G36" s="66"/>
      <c r="H36" s="66"/>
      <c r="J36" s="70">
        <f>L36*100/M36</f>
        <v>0</v>
      </c>
      <c r="K36" s="71"/>
      <c r="L36" s="13">
        <f>SUM(L5,L10,L17,L24,L30,L34)</f>
        <v>0</v>
      </c>
      <c r="M36" s="16">
        <f>SUM(M5:M34)</f>
        <v>138</v>
      </c>
    </row>
    <row r="37" spans="1:14">
      <c r="B37" s="11"/>
    </row>
  </sheetData>
  <sheetProtection insertHyperlinks="0"/>
  <mergeCells count="37">
    <mergeCell ref="E36:H36"/>
    <mergeCell ref="L24:L28"/>
    <mergeCell ref="J30:J32"/>
    <mergeCell ref="K30:K32"/>
    <mergeCell ref="K5:K8"/>
    <mergeCell ref="J36:K36"/>
    <mergeCell ref="J24:J28"/>
    <mergeCell ref="L30:L32"/>
    <mergeCell ref="J17:J22"/>
    <mergeCell ref="K17:K22"/>
    <mergeCell ref="L17:L22"/>
    <mergeCell ref="K10:K15"/>
    <mergeCell ref="L10:L15"/>
    <mergeCell ref="D17:G22"/>
    <mergeCell ref="D10:G15"/>
    <mergeCell ref="B5:B6"/>
    <mergeCell ref="B10:B11"/>
    <mergeCell ref="A1:M1"/>
    <mergeCell ref="A2:A34"/>
    <mergeCell ref="D2:H2"/>
    <mergeCell ref="J5:J8"/>
    <mergeCell ref="B30:B31"/>
    <mergeCell ref="K24:K28"/>
    <mergeCell ref="D5:G8"/>
    <mergeCell ref="D24:G28"/>
    <mergeCell ref="L5:L8"/>
    <mergeCell ref="J10:J15"/>
    <mergeCell ref="D30:G32"/>
    <mergeCell ref="D34:G34"/>
    <mergeCell ref="B17:B21"/>
    <mergeCell ref="B24:B27"/>
    <mergeCell ref="N2:N34"/>
    <mergeCell ref="M5:M8"/>
    <mergeCell ref="M10:M15"/>
    <mergeCell ref="M17:M22"/>
    <mergeCell ref="M24:M28"/>
    <mergeCell ref="M30:M32"/>
  </mergeCells>
  <phoneticPr fontId="1" type="noConversion"/>
  <conditionalFormatting sqref="H15">
    <cfRule type="colorScale" priority="12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conditionalFormatting sqref="H5:I8">
    <cfRule type="colorScale" priority="10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conditionalFormatting sqref="H17:H22">
    <cfRule type="colorScale" priority="9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conditionalFormatting sqref="H24:H28">
    <cfRule type="colorScale" priority="8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conditionalFormatting sqref="H30:H32">
    <cfRule type="colorScale" priority="7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conditionalFormatting sqref="H34">
    <cfRule type="colorScale" priority="6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conditionalFormatting sqref="I17:I22">
    <cfRule type="colorScale" priority="4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conditionalFormatting sqref="I24:I28">
    <cfRule type="colorScale" priority="3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conditionalFormatting sqref="I30:I32">
    <cfRule type="colorScale" priority="2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conditionalFormatting sqref="I34">
    <cfRule type="colorScale" priority="1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conditionalFormatting sqref="H10:H14">
    <cfRule type="colorScale" priority="13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conditionalFormatting sqref="I10:I15">
    <cfRule type="colorScale" priority="14">
      <colorScale>
        <cfvo type="num" val="0"/>
        <cfvo type="percent" val="50"/>
        <cfvo type="num" val="3"/>
        <color rgb="FFFF7128"/>
        <color rgb="FFFFEB84"/>
        <color rgb="FF63BE7B"/>
      </colorScale>
    </cfRule>
  </conditionalFormatting>
  <pageMargins left="0.75000000000000011" right="0.75000000000000011" top="0.984251969" bottom="0.984251969" header="0.5" footer="0.5"/>
  <pageSetup paperSize="9" scale="73" fitToHeight="2" orientation="landscape" horizontalDpi="4294967292" verticalDpi="4294967292"/>
  <headerFooter alignWithMargins="0">
    <oddHeader>&amp;R&amp;"Calibri,Standard"&amp;K000000&amp;G</oddHeader>
    <oddFooter>&amp;L&amp;"Calibri,Standard"&amp;K000000&amp;D, &amp;T&amp;R&amp;"Calibri,Standard"&amp;K000000&amp;P von &amp;N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Scroll Bar 15">
              <controlPr locked="0" defaultSize="0" autoPict="0">
                <anchor moveWithCells="1">
                  <from>
                    <xdr:col>3</xdr:col>
                    <xdr:colOff>419100</xdr:colOff>
                    <xdr:row>4</xdr:row>
                    <xdr:rowOff>38100</xdr:rowOff>
                  </from>
                  <to>
                    <xdr:col>6</xdr:col>
                    <xdr:colOff>723900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Scroll Bar 16">
              <controlPr locked="0" defaultSize="0" autoPict="0">
                <anchor moveWithCells="1">
                  <from>
                    <xdr:col>3</xdr:col>
                    <xdr:colOff>419100</xdr:colOff>
                    <xdr:row>5</xdr:row>
                    <xdr:rowOff>38100</xdr:rowOff>
                  </from>
                  <to>
                    <xdr:col>6</xdr:col>
                    <xdr:colOff>723900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Scroll Bar 17">
              <controlPr locked="0" defaultSize="0" autoPict="0">
                <anchor moveWithCells="1">
                  <from>
                    <xdr:col>3</xdr:col>
                    <xdr:colOff>419100</xdr:colOff>
                    <xdr:row>7</xdr:row>
                    <xdr:rowOff>38100</xdr:rowOff>
                  </from>
                  <to>
                    <xdr:col>6</xdr:col>
                    <xdr:colOff>723900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Scroll Bar 18">
              <controlPr locked="0" defaultSize="0" autoPict="0">
                <anchor moveWithCells="1">
                  <from>
                    <xdr:col>3</xdr:col>
                    <xdr:colOff>419100</xdr:colOff>
                    <xdr:row>9</xdr:row>
                    <xdr:rowOff>38100</xdr:rowOff>
                  </from>
                  <to>
                    <xdr:col>6</xdr:col>
                    <xdr:colOff>723900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Scroll Bar 19">
              <controlPr locked="0" defaultSize="0" autoPict="0">
                <anchor moveWithCells="1">
                  <from>
                    <xdr:col>3</xdr:col>
                    <xdr:colOff>419100</xdr:colOff>
                    <xdr:row>10</xdr:row>
                    <xdr:rowOff>47625</xdr:rowOff>
                  </from>
                  <to>
                    <xdr:col>6</xdr:col>
                    <xdr:colOff>723900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Scroll Bar 20">
              <controlPr locked="0" defaultSize="0" autoPict="0">
                <anchor moveWithCells="1">
                  <from>
                    <xdr:col>3</xdr:col>
                    <xdr:colOff>419100</xdr:colOff>
                    <xdr:row>14</xdr:row>
                    <xdr:rowOff>47625</xdr:rowOff>
                  </from>
                  <to>
                    <xdr:col>6</xdr:col>
                    <xdr:colOff>723900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Scroll Bar 21">
              <controlPr defaultSize="0" autoPict="0">
                <anchor moveWithCells="1">
                  <from>
                    <xdr:col>3</xdr:col>
                    <xdr:colOff>419100</xdr:colOff>
                    <xdr:row>16</xdr:row>
                    <xdr:rowOff>28575</xdr:rowOff>
                  </from>
                  <to>
                    <xdr:col>6</xdr:col>
                    <xdr:colOff>723900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Scroll Bar 22">
              <controlPr locked="0" defaultSize="0" autoPict="0">
                <anchor moveWithCells="1">
                  <from>
                    <xdr:col>3</xdr:col>
                    <xdr:colOff>419100</xdr:colOff>
                    <xdr:row>17</xdr:row>
                    <xdr:rowOff>38100</xdr:rowOff>
                  </from>
                  <to>
                    <xdr:col>6</xdr:col>
                    <xdr:colOff>723900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Scroll Bar 23">
              <controlPr locked="0" defaultSize="0" autoPict="0">
                <anchor moveWithCells="1">
                  <from>
                    <xdr:col>3</xdr:col>
                    <xdr:colOff>419100</xdr:colOff>
                    <xdr:row>18</xdr:row>
                    <xdr:rowOff>47625</xdr:rowOff>
                  </from>
                  <to>
                    <xdr:col>6</xdr:col>
                    <xdr:colOff>723900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Scroll Bar 24">
              <controlPr locked="0" defaultSize="0" autoPict="0">
                <anchor moveWithCells="1">
                  <from>
                    <xdr:col>3</xdr:col>
                    <xdr:colOff>419100</xdr:colOff>
                    <xdr:row>19</xdr:row>
                    <xdr:rowOff>66675</xdr:rowOff>
                  </from>
                  <to>
                    <xdr:col>6</xdr:col>
                    <xdr:colOff>723900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Scroll Bar 25">
              <controlPr locked="0" defaultSize="0" autoPict="0">
                <anchor moveWithCells="1">
                  <from>
                    <xdr:col>3</xdr:col>
                    <xdr:colOff>419100</xdr:colOff>
                    <xdr:row>20</xdr:row>
                    <xdr:rowOff>66675</xdr:rowOff>
                  </from>
                  <to>
                    <xdr:col>6</xdr:col>
                    <xdr:colOff>723900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Scroll Bar 26">
              <controlPr locked="0" defaultSize="0" autoPict="0">
                <anchor moveWithCells="1">
                  <from>
                    <xdr:col>3</xdr:col>
                    <xdr:colOff>419100</xdr:colOff>
                    <xdr:row>21</xdr:row>
                    <xdr:rowOff>47625</xdr:rowOff>
                  </from>
                  <to>
                    <xdr:col>6</xdr:col>
                    <xdr:colOff>723900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Scroll Bar 27">
              <controlPr locked="0" defaultSize="0" autoPict="0">
                <anchor moveWithCells="1">
                  <from>
                    <xdr:col>3</xdr:col>
                    <xdr:colOff>419100</xdr:colOff>
                    <xdr:row>23</xdr:row>
                    <xdr:rowOff>28575</xdr:rowOff>
                  </from>
                  <to>
                    <xdr:col>6</xdr:col>
                    <xdr:colOff>723900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Scroll Bar 28">
              <controlPr locked="0" defaultSize="0" autoPict="0">
                <anchor moveWithCells="1">
                  <from>
                    <xdr:col>3</xdr:col>
                    <xdr:colOff>419100</xdr:colOff>
                    <xdr:row>26</xdr:row>
                    <xdr:rowOff>9525</xdr:rowOff>
                  </from>
                  <to>
                    <xdr:col>6</xdr:col>
                    <xdr:colOff>723900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Scroll Bar 29">
              <controlPr locked="0" defaultSize="0" autoPict="0">
                <anchor moveWithCells="1">
                  <from>
                    <xdr:col>3</xdr:col>
                    <xdr:colOff>419100</xdr:colOff>
                    <xdr:row>27</xdr:row>
                    <xdr:rowOff>9525</xdr:rowOff>
                  </from>
                  <to>
                    <xdr:col>6</xdr:col>
                    <xdr:colOff>723900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Scroll Bar 30">
              <controlPr locked="0" defaultSize="0" autoPict="0">
                <anchor moveWithCells="1">
                  <from>
                    <xdr:col>3</xdr:col>
                    <xdr:colOff>409575</xdr:colOff>
                    <xdr:row>29</xdr:row>
                    <xdr:rowOff>0</xdr:rowOff>
                  </from>
                  <to>
                    <xdr:col>6</xdr:col>
                    <xdr:colOff>714375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Scroll Bar 31">
              <controlPr locked="0" defaultSize="0" autoPict="0">
                <anchor moveWithCells="1">
                  <from>
                    <xdr:col>3</xdr:col>
                    <xdr:colOff>409575</xdr:colOff>
                    <xdr:row>30</xdr:row>
                    <xdr:rowOff>9525</xdr:rowOff>
                  </from>
                  <to>
                    <xdr:col>6</xdr:col>
                    <xdr:colOff>714375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Scroll Bar 32">
              <controlPr locked="0" defaultSize="0" autoPict="0">
                <anchor moveWithCells="1">
                  <from>
                    <xdr:col>3</xdr:col>
                    <xdr:colOff>409575</xdr:colOff>
                    <xdr:row>31</xdr:row>
                    <xdr:rowOff>9525</xdr:rowOff>
                  </from>
                  <to>
                    <xdr:col>6</xdr:col>
                    <xdr:colOff>714375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Scroll Bar 33">
              <controlPr locked="0" defaultSize="0" autoPict="0">
                <anchor moveWithCells="1">
                  <from>
                    <xdr:col>3</xdr:col>
                    <xdr:colOff>409575</xdr:colOff>
                    <xdr:row>33</xdr:row>
                    <xdr:rowOff>9525</xdr:rowOff>
                  </from>
                  <to>
                    <xdr:col>6</xdr:col>
                    <xdr:colOff>714375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3" name="Scroll Bar 34">
              <controlPr locked="0" defaultSize="0" autoPict="0">
                <anchor moveWithCells="1">
                  <from>
                    <xdr:col>3</xdr:col>
                    <xdr:colOff>419100</xdr:colOff>
                    <xdr:row>24</xdr:row>
                    <xdr:rowOff>28575</xdr:rowOff>
                  </from>
                  <to>
                    <xdr:col>6</xdr:col>
                    <xdr:colOff>723900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Scroll Bar 35">
              <controlPr locked="0" defaultSize="0" autoPict="0">
                <anchor moveWithCells="1">
                  <from>
                    <xdr:col>3</xdr:col>
                    <xdr:colOff>419100</xdr:colOff>
                    <xdr:row>25</xdr:row>
                    <xdr:rowOff>28575</xdr:rowOff>
                  </from>
                  <to>
                    <xdr:col>6</xdr:col>
                    <xdr:colOff>723900</xdr:colOff>
                    <xdr:row>25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A21E8BD4F34F840AA54A8EAF2E0E987" ma:contentTypeVersion="4" ma:contentTypeDescription="Ein neues Dokument erstellen." ma:contentTypeScope="" ma:versionID="cc11e63e5fcb0c147ca3c8aac1999c7c">
  <xsd:schema xmlns:xsd="http://www.w3.org/2001/XMLSchema" xmlns:xs="http://www.w3.org/2001/XMLSchema" xmlns:p="http://schemas.microsoft.com/office/2006/metadata/properties" xmlns:ns2="32cfad86-c781-4bac-b26a-4292e85b8fb3" xmlns:ns3="d372fa56-9459-40ed-a043-14784abcf508" targetNamespace="http://schemas.microsoft.com/office/2006/metadata/properties" ma:root="true" ma:fieldsID="30051f8d03d8d110961deef15c0ba9c8" ns2:_="" ns3:_="">
    <xsd:import namespace="32cfad86-c781-4bac-b26a-4292e85b8fb3"/>
    <xsd:import namespace="d372fa56-9459-40ed-a043-14784abcf50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cfad86-c781-4bac-b26a-4292e85b8fb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72fa56-9459-40ed-a043-14784abcf5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823470-1B38-49E3-B81E-6C1154A1DF80}"/>
</file>

<file path=customXml/itemProps2.xml><?xml version="1.0" encoding="utf-8"?>
<ds:datastoreItem xmlns:ds="http://schemas.openxmlformats.org/officeDocument/2006/customXml" ds:itemID="{4A78CF6E-CDA9-423A-93A3-6E8296952244}"/>
</file>

<file path=customXml/itemProps3.xml><?xml version="1.0" encoding="utf-8"?>
<ds:datastoreItem xmlns:ds="http://schemas.openxmlformats.org/officeDocument/2006/customXml" ds:itemID="{F2E59DD6-F269-415E-AEF0-4D3DC64A14B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STEP2</dc:creator>
  <cp:keywords/>
  <dc:description/>
  <cp:lastModifiedBy>Thomas Günther</cp:lastModifiedBy>
  <cp:revision/>
  <dcterms:created xsi:type="dcterms:W3CDTF">2015-07-26T00:00:03Z</dcterms:created>
  <dcterms:modified xsi:type="dcterms:W3CDTF">2023-12-09T10:47:31Z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0x0101005A21E8BD4F34F840AA54A8EAF2E0E987</vt:lpwstr>
  </property>
</Properties>
</file>